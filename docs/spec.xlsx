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202300"/>
  <xr:revisionPtr revIDLastSave="0" documentId="13_ncr:1_{9E018E76-36D9-47EE-AB3C-CCED46F4F00C}" xr6:coauthVersionLast="47" xr6:coauthVersionMax="47" xr10:uidLastSave="{00000000-0000-0000-0000-000000000000}"/>
  <bookViews>
    <workbookView xWindow="28680" yWindow="-5475" windowWidth="51840" windowHeight="21120" xr2:uid="{3844978D-FC62-4D1C-9D18-961F59752572}"/>
  </bookViews>
  <sheets>
    <sheet name="基本スペック" sheetId="3" r:id="rId1"/>
    <sheet name="ジョイント" sheetId="4" r:id="rId2"/>
    <sheet name="質量、重心、慣性テンソル" sheetId="2" r:id="rId3"/>
    <sheet name="シリンダスペック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" l="1"/>
  <c r="H19" i="4"/>
  <c r="H17" i="4"/>
  <c r="H16" i="4"/>
  <c r="F20" i="4"/>
  <c r="F19" i="4"/>
  <c r="F17" i="4"/>
  <c r="F16" i="4"/>
  <c r="C20" i="4"/>
  <c r="C19" i="4"/>
  <c r="C17" i="4"/>
  <c r="C16" i="4"/>
  <c r="G9" i="4"/>
  <c r="G8" i="4"/>
  <c r="G16" i="4" s="1"/>
  <c r="G5" i="4"/>
  <c r="E9" i="4"/>
  <c r="E8" i="4"/>
  <c r="E11" i="4" s="1"/>
  <c r="E5" i="4"/>
  <c r="B25" i="4"/>
  <c r="B9" i="4"/>
  <c r="B8" i="4"/>
  <c r="B16" i="4" s="1"/>
  <c r="B5" i="4"/>
  <c r="D31" i="1"/>
  <c r="D6" i="3"/>
  <c r="E27" i="2"/>
  <c r="E26" i="2"/>
  <c r="S3" i="2"/>
  <c r="R3" i="2"/>
  <c r="Q3" i="2"/>
  <c r="E8" i="2"/>
  <c r="C13" i="1"/>
  <c r="D10" i="1"/>
  <c r="C10" i="1"/>
  <c r="B10" i="1"/>
  <c r="D8" i="1"/>
  <c r="C8" i="1"/>
  <c r="B8" i="1"/>
  <c r="B16" i="1" s="1"/>
  <c r="D5" i="3"/>
  <c r="D2" i="3"/>
  <c r="D3" i="3" s="1"/>
  <c r="B6" i="1"/>
  <c r="B14" i="3"/>
  <c r="E21" i="2"/>
  <c r="E9" i="2"/>
  <c r="E10" i="2"/>
  <c r="E11" i="2"/>
  <c r="E12" i="2"/>
  <c r="E13" i="2"/>
  <c r="E14" i="2"/>
  <c r="E15" i="2"/>
  <c r="E16" i="2"/>
  <c r="E17" i="2"/>
  <c r="E18" i="2"/>
  <c r="E2" i="2"/>
  <c r="E22" i="2" s="1"/>
  <c r="E5" i="2"/>
  <c r="E4" i="2"/>
  <c r="E6" i="2"/>
  <c r="E7" i="2"/>
  <c r="E3" i="2"/>
  <c r="E20" i="2"/>
  <c r="C9" i="1" l="1"/>
  <c r="C15" i="1" s="1"/>
  <c r="E12" i="4"/>
  <c r="G17" i="4"/>
  <c r="E20" i="4"/>
  <c r="E19" i="4"/>
  <c r="G11" i="4"/>
  <c r="G12" i="4"/>
  <c r="E16" i="4"/>
  <c r="E17" i="4"/>
  <c r="B17" i="4"/>
  <c r="B12" i="4"/>
  <c r="B20" i="4" s="1"/>
  <c r="B11" i="4"/>
  <c r="B19" i="4" s="1"/>
  <c r="C20" i="1"/>
  <c r="D9" i="1"/>
  <c r="D15" i="1" s="1"/>
  <c r="B20" i="1"/>
  <c r="D20" i="1"/>
  <c r="B14" i="1"/>
  <c r="D16" i="1"/>
  <c r="D22" i="1" s="1"/>
  <c r="C17" i="1"/>
  <c r="C16" i="1"/>
  <c r="C22" i="1" s="1"/>
  <c r="D17" i="1"/>
  <c r="B9" i="1"/>
  <c r="B17" i="1" s="1"/>
  <c r="C14" i="1"/>
  <c r="D14" i="1"/>
  <c r="D21" i="1" s="1"/>
  <c r="D24" i="1" s="1"/>
  <c r="E24" i="2"/>
  <c r="E25" i="2"/>
  <c r="G20" i="4" l="1"/>
  <c r="G19" i="4"/>
  <c r="B21" i="1"/>
  <c r="B24" i="1" s="1"/>
  <c r="C21" i="1"/>
  <c r="C24" i="1" s="1"/>
  <c r="B15" i="1"/>
  <c r="B22" i="1" s="1"/>
  <c r="C6" i="1"/>
  <c r="C3" i="1" s="1"/>
  <c r="C28" i="1" s="1"/>
  <c r="D6" i="1"/>
  <c r="D3" i="1" s="1"/>
  <c r="D28" i="1" s="1"/>
  <c r="B3" i="1"/>
  <c r="B28" i="1" s="1"/>
  <c r="C5" i="1"/>
  <c r="C4" i="1" s="1"/>
  <c r="C29" i="1" s="1"/>
  <c r="D5" i="1"/>
  <c r="B5" i="1"/>
  <c r="B30" i="1" l="1"/>
  <c r="D30" i="1"/>
  <c r="C31" i="1"/>
  <c r="D4" i="1"/>
  <c r="D29" i="1" s="1"/>
  <c r="B4" i="1"/>
  <c r="B29" i="1" s="1"/>
  <c r="C7" i="1"/>
  <c r="B31" i="1" l="1"/>
  <c r="D7" i="1"/>
  <c r="B7" i="1"/>
</calcChain>
</file>

<file path=xl/sharedStrings.xml><?xml version="1.0" encoding="utf-8"?>
<sst xmlns="http://schemas.openxmlformats.org/spreadsheetml/2006/main" count="233" uniqueCount="182">
  <si>
    <t>ストローク</t>
    <phoneticPr fontId="18"/>
  </si>
  <si>
    <t>ブーム</t>
  </si>
  <si>
    <t>アーム</t>
  </si>
  <si>
    <t>バケット</t>
  </si>
  <si>
    <t>(mm)</t>
  </si>
  <si>
    <t>最小ピン間距離</t>
    <rPh sb="0" eb="2">
      <t>サイショウ</t>
    </rPh>
    <rPh sb="4" eb="5">
      <t>カン</t>
    </rPh>
    <rPh sb="5" eb="7">
      <t>キョリ</t>
    </rPh>
    <phoneticPr fontId="18"/>
  </si>
  <si>
    <t>最大ピン間距離</t>
    <rPh sb="0" eb="2">
      <t>サイダイ</t>
    </rPh>
    <rPh sb="4" eb="5">
      <t>カン</t>
    </rPh>
    <rPh sb="5" eb="7">
      <t>キョリ</t>
    </rPh>
    <phoneticPr fontId="18"/>
  </si>
  <si>
    <t>初期ピン間距離</t>
    <rPh sb="0" eb="2">
      <t>ショキ</t>
    </rPh>
    <rPh sb="4" eb="5">
      <t>カン</t>
    </rPh>
    <rPh sb="5" eb="7">
      <t>キョリ</t>
    </rPh>
    <phoneticPr fontId="18"/>
  </si>
  <si>
    <t>有効シリンダ長</t>
    <rPh sb="0" eb="2">
      <t>ユウコウ</t>
    </rPh>
    <rPh sb="6" eb="7">
      <t>チョウ</t>
    </rPh>
    <phoneticPr fontId="18"/>
  </si>
  <si>
    <t>最大ピン間距離=有効ロッド長+有効シリンダ長</t>
    <rPh sb="0" eb="2">
      <t>サイダイ</t>
    </rPh>
    <rPh sb="4" eb="5">
      <t>カン</t>
    </rPh>
    <rPh sb="5" eb="7">
      <t>キョリ</t>
    </rPh>
    <rPh sb="8" eb="10">
      <t>ユウコウ</t>
    </rPh>
    <rPh sb="13" eb="14">
      <t>チョウ</t>
    </rPh>
    <rPh sb="15" eb="17">
      <t>ユウコウ</t>
    </rPh>
    <rPh sb="21" eb="22">
      <t>チョウ</t>
    </rPh>
    <phoneticPr fontId="18"/>
  </si>
  <si>
    <t>有効ロッド長</t>
    <rPh sb="0" eb="2">
      <t>ユウコウ</t>
    </rPh>
    <rPh sb="5" eb="6">
      <t>チョウ</t>
    </rPh>
    <phoneticPr fontId="18"/>
  </si>
  <si>
    <t>A:ロッド径(Must)</t>
  </si>
  <si>
    <t>B:内径(Must)</t>
  </si>
  <si>
    <t>C: ロッドアイ半径</t>
  </si>
  <si>
    <t>D: 露出部(Must)</t>
  </si>
  <si>
    <t>F: 油圧室(Must)</t>
  </si>
  <si>
    <t>G: ピストン長(Must)</t>
  </si>
  <si>
    <t>H: ピストン先端長(Must)</t>
  </si>
  <si>
    <t>I</t>
  </si>
  <si>
    <t>J</t>
  </si>
  <si>
    <t>K</t>
  </si>
  <si>
    <t>有効シリンダ長=J+K</t>
    <rPh sb="0" eb="2">
      <t>ユウコウ</t>
    </rPh>
    <rPh sb="6" eb="7">
      <t>チョウ</t>
    </rPh>
    <phoneticPr fontId="18"/>
  </si>
  <si>
    <t>E: 格納ロッド長</t>
    <rPh sb="3" eb="5">
      <t>カクノウ</t>
    </rPh>
    <rPh sb="8" eb="9">
      <t>チョウ</t>
    </rPh>
    <phoneticPr fontId="18"/>
  </si>
  <si>
    <t>ストローク=最大ピン間距離-最小ピン間距離</t>
    <rPh sb="6" eb="8">
      <t>サイダイ</t>
    </rPh>
    <rPh sb="10" eb="11">
      <t>カン</t>
    </rPh>
    <rPh sb="11" eb="13">
      <t>キョリ</t>
    </rPh>
    <rPh sb="14" eb="16">
      <t>サイショウ</t>
    </rPh>
    <rPh sb="18" eb="19">
      <t>カン</t>
    </rPh>
    <rPh sb="19" eb="21">
      <t>キョリ</t>
    </rPh>
    <phoneticPr fontId="18"/>
  </si>
  <si>
    <t>有効ロッド長=C+D+E</t>
    <rPh sb="0" eb="2">
      <t>ユウコウ</t>
    </rPh>
    <rPh sb="5" eb="6">
      <t>チョウ</t>
    </rPh>
    <phoneticPr fontId="18"/>
  </si>
  <si>
    <t>最小ピン間距離=C+D+I+F+有効シリンダ長</t>
    <rPh sb="0" eb="2">
      <t>サイショウ</t>
    </rPh>
    <rPh sb="4" eb="5">
      <t>カン</t>
    </rPh>
    <rPh sb="5" eb="7">
      <t>キョリ</t>
    </rPh>
    <rPh sb="16" eb="18">
      <t>y</t>
    </rPh>
    <rPh sb="22" eb="23">
      <t>チョウ</t>
    </rPh>
    <phoneticPr fontId="18"/>
  </si>
  <si>
    <t>数</t>
    <rPh sb="0" eb="1">
      <t>カズ</t>
    </rPh>
    <phoneticPr fontId="18"/>
  </si>
  <si>
    <t>Link</t>
  </si>
  <si>
    <t>Shoe</t>
  </si>
  <si>
    <t>単体質量(kg)</t>
    <rPh sb="0" eb="2">
      <t>タンタイ</t>
    </rPh>
    <rPh sb="2" eb="4">
      <t>シツリョウ</t>
    </rPh>
    <phoneticPr fontId="18"/>
  </si>
  <si>
    <t>合計(運転質量、運転手なし)</t>
    <rPh sb="0" eb="2">
      <t>ゴウケイ</t>
    </rPh>
    <rPh sb="3" eb="5">
      <t>ウンテン</t>
    </rPh>
    <rPh sb="5" eb="7">
      <t>シツリョウ</t>
    </rPh>
    <rPh sb="8" eb="11">
      <t>ウンテンシュ</t>
    </rPh>
    <phoneticPr fontId="18"/>
  </si>
  <si>
    <t>コメント</t>
    <phoneticPr fontId="18"/>
  </si>
  <si>
    <t>ArmFootPin、ArmCylinderTubePinを含む</t>
    <rPh sb="30" eb="31">
      <t>フク</t>
    </rPh>
    <phoneticPr fontId="18"/>
  </si>
  <si>
    <t>ArmPistionRodPin、BucketCylinderTubePinを含む</t>
    <rPh sb="39" eb="40">
      <t>フク</t>
    </rPh>
    <phoneticPr fontId="18"/>
  </si>
  <si>
    <t>BucketFootPin、BucketHLinkPinを含む</t>
    <rPh sb="29" eb="30">
      <t>フク</t>
    </rPh>
    <phoneticPr fontId="18"/>
  </si>
  <si>
    <t>UpperFrame、SideStep、Cab、EngineCover、CounterWeightを含む</t>
    <rPh sb="50" eb="51">
      <t>フク</t>
    </rPh>
    <phoneticPr fontId="18"/>
  </si>
  <si>
    <t>計(kg)</t>
    <rPh sb="0" eb="1">
      <t>ケイ</t>
    </rPh>
    <phoneticPr fontId="18"/>
  </si>
  <si>
    <t>重心</t>
    <rPh sb="0" eb="2">
      <t>ジュウシン</t>
    </rPh>
    <phoneticPr fontId="18"/>
  </si>
  <si>
    <t>慣性テンソル</t>
    <rPh sb="0" eb="2">
      <t>カンセイ</t>
    </rPh>
    <phoneticPr fontId="18"/>
  </si>
  <si>
    <t>自動計算</t>
    <rPh sb="0" eb="4">
      <t>ジドウケイサン</t>
    </rPh>
    <phoneticPr fontId="18"/>
  </si>
  <si>
    <t>グローバル座標[-1906.75, 0, 1560]</t>
    <rPh sb="5" eb="7">
      <t>ザヒョウ</t>
    </rPh>
    <phoneticPr fontId="18"/>
  </si>
  <si>
    <t>ブームからバケットまでの合計質量</t>
    <rPh sb="12" eb="14">
      <t>ゴウケイ</t>
    </rPh>
    <rPh sb="14" eb="16">
      <t>シツリョウ</t>
    </rPh>
    <phoneticPr fontId="18"/>
  </si>
  <si>
    <t>全リンクシュー質量</t>
    <rPh sb="0" eb="1">
      <t>ゼン</t>
    </rPh>
    <rPh sb="7" eb="9">
      <t>シツリョウ</t>
    </rPh>
    <phoneticPr fontId="18"/>
  </si>
  <si>
    <t>最大けん引力</t>
    <rPh sb="0" eb="2">
      <t>サイダイ</t>
    </rPh>
    <rPh sb="4" eb="6">
      <t>インリョク</t>
    </rPh>
    <phoneticPr fontId="18"/>
  </si>
  <si>
    <t>旋回速度</t>
    <rPh sb="0" eb="2">
      <t>センカイ</t>
    </rPh>
    <rPh sb="2" eb="4">
      <t>ソクド</t>
    </rPh>
    <phoneticPr fontId="18"/>
  </si>
  <si>
    <t>旋回トルク</t>
    <rPh sb="0" eb="2">
      <t>センカイ</t>
    </rPh>
    <phoneticPr fontId="18"/>
  </si>
  <si>
    <t>最大走行速度</t>
    <rPh sb="0" eb="2">
      <t>サイダイ</t>
    </rPh>
    <rPh sb="2" eb="4">
      <t>ソウコウ</t>
    </rPh>
    <rPh sb="4" eb="6">
      <t>ソクド</t>
    </rPh>
    <phoneticPr fontId="18"/>
  </si>
  <si>
    <t>作業時最大圧力</t>
    <rPh sb="0" eb="2">
      <t>サギョウ</t>
    </rPh>
    <rPh sb="2" eb="3">
      <t>ジ</t>
    </rPh>
    <rPh sb="3" eb="5">
      <t>サイダイ</t>
    </rPh>
    <rPh sb="5" eb="7">
      <t>アツリョク</t>
    </rPh>
    <phoneticPr fontId="18"/>
  </si>
  <si>
    <t>km/h</t>
    <phoneticPr fontId="18"/>
  </si>
  <si>
    <t>kN</t>
    <phoneticPr fontId="18"/>
  </si>
  <si>
    <t>rpm</t>
    <phoneticPr fontId="18"/>
  </si>
  <si>
    <t>kNm</t>
    <phoneticPr fontId="18"/>
  </si>
  <si>
    <t>MPa</t>
    <phoneticPr fontId="18"/>
  </si>
  <si>
    <t>バケット山積み容量(m3)</t>
    <rPh sb="7" eb="9">
      <t>ヨウリョウ</t>
    </rPh>
    <phoneticPr fontId="18"/>
  </si>
  <si>
    <t>バケット平積み容量(m3)</t>
    <rPh sb="7" eb="9">
      <t>ヨウリョウ</t>
    </rPh>
    <phoneticPr fontId="18"/>
  </si>
  <si>
    <t>バケット内側面面積(m2)</t>
    <rPh sb="4" eb="5">
      <t>ウチ</t>
    </rPh>
    <rPh sb="5" eb="7">
      <t>ソクメン</t>
    </rPh>
    <rPh sb="7" eb="9">
      <t>メンセキ</t>
    </rPh>
    <phoneticPr fontId="18"/>
  </si>
  <si>
    <t>バケット内側幅(m)</t>
    <rPh sb="4" eb="5">
      <t>ウチ</t>
    </rPh>
    <rPh sb="6" eb="7">
      <t>ハバ</t>
    </rPh>
    <phoneticPr fontId="18"/>
  </si>
  <si>
    <t>SI単位</t>
    <rPh sb="2" eb="4">
      <t>タンイ</t>
    </rPh>
    <phoneticPr fontId="18"/>
  </si>
  <si>
    <t>m/s</t>
    <phoneticPr fontId="18"/>
  </si>
  <si>
    <t>rad/s</t>
    <phoneticPr fontId="18"/>
  </si>
  <si>
    <t>ツース長さ(m)</t>
    <rPh sb="3" eb="4">
      <t>ナガ</t>
    </rPh>
    <phoneticPr fontId="18"/>
  </si>
  <si>
    <t>バケット外幅(サイドカッター含む)(m)</t>
    <rPh sb="4" eb="5">
      <t>ガイ</t>
    </rPh>
    <rPh sb="5" eb="6">
      <t>ハバ</t>
    </rPh>
    <rPh sb="14" eb="15">
      <t>フク</t>
    </rPh>
    <phoneticPr fontId="18"/>
  </si>
  <si>
    <t>バケット外幅(サイドカッターなし)(m)</t>
    <rPh sb="4" eb="5">
      <t>ガイ</t>
    </rPh>
    <rPh sb="5" eb="6">
      <t>ハバ</t>
    </rPh>
    <phoneticPr fontId="18"/>
  </si>
  <si>
    <t>ツース幅(m)</t>
    <rPh sb="3" eb="4">
      <t>ハバ</t>
    </rPh>
    <phoneticPr fontId="18"/>
  </si>
  <si>
    <t>ツース根本高さ(m)</t>
    <rPh sb="3" eb="5">
      <t>ネモト</t>
    </rPh>
    <rPh sb="5" eb="6">
      <t>タカ</t>
    </rPh>
    <phoneticPr fontId="18"/>
  </si>
  <si>
    <t>ツース先端高さ(m)</t>
    <rPh sb="3" eb="5">
      <t>センタン</t>
    </rPh>
    <rPh sb="5" eb="6">
      <t>タカ</t>
    </rPh>
    <phoneticPr fontId="18"/>
  </si>
  <si>
    <t>バケット</t>
    <phoneticPr fontId="18"/>
  </si>
  <si>
    <t>性能</t>
    <rPh sb="0" eb="2">
      <t>セイノウ</t>
    </rPh>
    <phoneticPr fontId="18"/>
  </si>
  <si>
    <t>BoomPistionRodPinを含む</t>
    <rPh sb="18" eb="19">
      <t>フク</t>
    </rPh>
    <phoneticPr fontId="18"/>
  </si>
  <si>
    <t>上ローラ(片側)</t>
    <rPh sb="0" eb="1">
      <t>ウエ</t>
    </rPh>
    <rPh sb="5" eb="7">
      <t>カタガワ</t>
    </rPh>
    <phoneticPr fontId="18"/>
  </si>
  <si>
    <t>下ローラ(片側)</t>
    <rPh sb="0" eb="1">
      <t>シタ</t>
    </rPh>
    <phoneticPr fontId="18"/>
  </si>
  <si>
    <t>トラックシュー(片側)</t>
    <phoneticPr fontId="18"/>
  </si>
  <si>
    <t>下部走行体</t>
    <rPh sb="0" eb="4">
      <t>カブソ</t>
    </rPh>
    <rPh sb="4" eb="5">
      <t>タイ</t>
    </rPh>
    <phoneticPr fontId="18"/>
  </si>
  <si>
    <t>最大走行角速度</t>
    <rPh sb="0" eb="2">
      <t>サイダイ</t>
    </rPh>
    <rPh sb="2" eb="4">
      <t>ソウコウ</t>
    </rPh>
    <rPh sb="4" eb="5">
      <t>カク</t>
    </rPh>
    <rPh sb="5" eb="7">
      <t>ソクド</t>
    </rPh>
    <phoneticPr fontId="18"/>
  </si>
  <si>
    <t>スプロケット中心から接地面(グローサ除く)までの距離(m)</t>
    <rPh sb="6" eb="8">
      <t>チュウシン</t>
    </rPh>
    <rPh sb="10" eb="13">
      <t>セッチメン</t>
    </rPh>
    <rPh sb="18" eb="19">
      <t>ノゾ</t>
    </rPh>
    <rPh sb="24" eb="26">
      <t>キョリ</t>
    </rPh>
    <phoneticPr fontId="18"/>
  </si>
  <si>
    <t>最大けん引トルク</t>
    <rPh sb="0" eb="2">
      <t>サイダイ</t>
    </rPh>
    <phoneticPr fontId="18"/>
  </si>
  <si>
    <t>Nm</t>
    <phoneticPr fontId="18"/>
  </si>
  <si>
    <t>ピストンロッド面積</t>
    <rPh sb="7" eb="9">
      <t>メンセキ</t>
    </rPh>
    <phoneticPr fontId="18"/>
  </si>
  <si>
    <t>背圧</t>
    <rPh sb="0" eb="2">
      <t>ハイアツ</t>
    </rPh>
    <phoneticPr fontId="18"/>
  </si>
  <si>
    <t>作業圧力(MPa)</t>
    <rPh sb="0" eb="2">
      <t>サギョウ</t>
    </rPh>
    <rPh sb="2" eb="4">
      <t>アツリョク</t>
    </rPh>
    <phoneticPr fontId="18"/>
  </si>
  <si>
    <t>背圧(MPa)</t>
    <rPh sb="0" eb="2">
      <t>ハイアツ</t>
    </rPh>
    <phoneticPr fontId="18"/>
  </si>
  <si>
    <t>ボトム圧面積</t>
    <rPh sb="3" eb="4">
      <t>アツ</t>
    </rPh>
    <rPh sb="4" eb="6">
      <t>メンセキ</t>
    </rPh>
    <phoneticPr fontId="18"/>
  </si>
  <si>
    <t>ヘッド圧面積</t>
    <phoneticPr fontId="18"/>
  </si>
  <si>
    <t>最大ボトム推力(N)</t>
    <phoneticPr fontId="18"/>
  </si>
  <si>
    <t>最大ヘッド推力(N)</t>
    <phoneticPr fontId="18"/>
  </si>
  <si>
    <t>ボトム背圧推力(N)</t>
    <rPh sb="3" eb="5">
      <t>ハイアツ</t>
    </rPh>
    <rPh sb="5" eb="7">
      <t>スイリョク</t>
    </rPh>
    <phoneticPr fontId="18"/>
  </si>
  <si>
    <t>ヘッド背圧推力(N)</t>
    <rPh sb="3" eb="5">
      <t>ハイアツ</t>
    </rPh>
    <rPh sb="5" eb="7">
      <t>スイリョク</t>
    </rPh>
    <phoneticPr fontId="18"/>
  </si>
  <si>
    <t>最大シリンダ流量(L/min)</t>
    <rPh sb="0" eb="2">
      <t>サイダイ</t>
    </rPh>
    <rPh sb="6" eb="8">
      <t>リュウ</t>
    </rPh>
    <phoneticPr fontId="18"/>
  </si>
  <si>
    <t>m3/s</t>
    <phoneticPr fontId="18"/>
  </si>
  <si>
    <t>RB_Boom</t>
    <phoneticPr fontId="18"/>
  </si>
  <si>
    <t>RB_Arm</t>
    <phoneticPr fontId="18"/>
  </si>
  <si>
    <t>RB_Bucket</t>
    <phoneticPr fontId="18"/>
  </si>
  <si>
    <t>RB_BoomCylinderTube</t>
    <phoneticPr fontId="18"/>
  </si>
  <si>
    <t>RB_ArmCylinderTube</t>
    <phoneticPr fontId="18"/>
  </si>
  <si>
    <t>RB_BucketCylinderTube</t>
    <phoneticPr fontId="18"/>
  </si>
  <si>
    <t>RB_ILink</t>
    <phoneticPr fontId="18"/>
  </si>
  <si>
    <t>RB_HLink</t>
    <phoneticPr fontId="18"/>
  </si>
  <si>
    <t>RB_UpperStructure</t>
    <phoneticPr fontId="18"/>
  </si>
  <si>
    <t>RB_TrackFrame</t>
    <phoneticPr fontId="18"/>
  </si>
  <si>
    <t>RB_Idler</t>
    <phoneticPr fontId="18"/>
  </si>
  <si>
    <t>RB_Sprocket</t>
    <phoneticPr fontId="18"/>
  </si>
  <si>
    <t>RB_UpperRoller</t>
    <phoneticPr fontId="18"/>
  </si>
  <si>
    <t>RB_LowerRoller</t>
    <phoneticPr fontId="18"/>
  </si>
  <si>
    <t>LinkShoe</t>
    <phoneticPr fontId="18"/>
  </si>
  <si>
    <t>RB_BoomPistonRod</t>
    <phoneticPr fontId="18"/>
  </si>
  <si>
    <t>RB_ArmPistonRod</t>
    <phoneticPr fontId="18"/>
  </si>
  <si>
    <t>RB_BucketPistonRod</t>
    <phoneticPr fontId="18"/>
  </si>
  <si>
    <t>x</t>
    <phoneticPr fontId="18"/>
  </si>
  <si>
    <t>y</t>
    <phoneticPr fontId="18"/>
  </si>
  <si>
    <t>z</t>
    <phoneticPr fontId="18"/>
  </si>
  <si>
    <t>重心自動計算</t>
    <rPh sb="0" eb="2">
      <t>ジュウシン</t>
    </rPh>
    <rPh sb="2" eb="6">
      <t>ジドウケイサン</t>
    </rPh>
    <phoneticPr fontId="18"/>
  </si>
  <si>
    <t>重心オフセット</t>
    <rPh sb="0" eb="2">
      <t>ジュウシン</t>
    </rPh>
    <phoneticPr fontId="18"/>
  </si>
  <si>
    <t>ILinkx2、ILinkPin x2を含む</t>
    <rPh sb="20" eb="21">
      <t>フク</t>
    </rPh>
    <phoneticPr fontId="18"/>
  </si>
  <si>
    <t>[ 0.056017, 0, 0; 0, 0.18118, 0; 0, 0, 0.18118 ] kg·m²</t>
  </si>
  <si>
    <t>[ 0.056017, 0, 0; 0, 0.18118, 0; 0, 0, 0.18118 ] kg·m²</t>
    <phoneticPr fontId="18"/>
  </si>
  <si>
    <t>[ 6.7742, 0, 0; 0, 6.7742, 0; 0, 0, 10.266 ] kg·m²</t>
  </si>
  <si>
    <t>[ 2.3449, 0, 0; 0, 2.3451, 0; 0, 0, 4.2722 ] kg·m²</t>
  </si>
  <si>
    <t>[ 207.9, 0, 0; 0, 2913.5, 0; 0, 0, 3076.5 ] kg·m²</t>
  </si>
  <si>
    <t>[ 21.719, 0, 0; 0, 809.15, 0; 0, 0, 820.86 ] kg·m²</t>
  </si>
  <si>
    <t>[ 9.282, 0, 0; 0, 37.204, 0; 0, 0, 46.261 ] kg·m²</t>
  </si>
  <si>
    <t>[ 0.77256, 0, 0; 0, 72.237, 0; 0, 0, 72.364 ] kg·m²</t>
  </si>
  <si>
    <t>[ 0.19809, 0, 0; 0, 44.613, 0; 0, 0, 44.652 ] kg·m²</t>
  </si>
  <si>
    <t>[ 0.46415, 0, 0; 0, 31.58, 0; 0, 0, 31.585 ] kg·m²</t>
  </si>
  <si>
    <t>[ 0.15348, 0, 0; 0, 21.914, 0; 0, 0, 21.952 ] kg·m²</t>
  </si>
  <si>
    <t>[ 2.6359, 0, 0; 0, 7.0013, 0; 0, 0, 9.307 ] kg·m²</t>
  </si>
  <si>
    <t>[ 1.0987, 0, 0; 0, 3.5308, 0; 0, 0, 3.9491 ] kg·m²</t>
  </si>
  <si>
    <t>[ 5395.4, -512.7, -335.58; -512.7, 10231, -88.36; -335.58, -88.36, 13848 ] kg·m²</t>
  </si>
  <si>
    <t>[ 2289.8, 0, 0; 0, 2862.6, 0; 0, 0, 4858.4 ] kg·m²</t>
  </si>
  <si>
    <t>慣性テンソル自動計算結果</t>
    <rPh sb="0" eb="2">
      <t>カンセイ</t>
    </rPh>
    <rPh sb="6" eb="10">
      <t>ジドウケイサン</t>
    </rPh>
    <rPh sb="10" eb="12">
      <t>ケッカ</t>
    </rPh>
    <phoneticPr fontId="18"/>
  </si>
  <si>
    <t>ベースカラー</t>
    <phoneticPr fontId="18"/>
  </si>
  <si>
    <t>R</t>
    <phoneticPr fontId="18"/>
  </si>
  <si>
    <t>G</t>
    <phoneticPr fontId="18"/>
  </si>
  <si>
    <t>B</t>
    <phoneticPr fontId="18"/>
  </si>
  <si>
    <t>HEX</t>
    <phoneticPr fontId="18"/>
  </si>
  <si>
    <t>#a8ffa8</t>
    <phoneticPr fontId="18"/>
  </si>
  <si>
    <t>VMT Green (既定)</t>
    <rPh sb="11" eb="13">
      <t>キテイ</t>
    </rPh>
    <phoneticPr fontId="18"/>
  </si>
  <si>
    <t>#ffa8a8</t>
    <phoneticPr fontId="18"/>
  </si>
  <si>
    <t>淡い赤</t>
    <rPh sb="0" eb="1">
      <t>アワ</t>
    </rPh>
    <rPh sb="2" eb="3">
      <t>アカ</t>
    </rPh>
    <phoneticPr fontId="18"/>
  </si>
  <si>
    <t>#ffffa8</t>
    <phoneticPr fontId="18"/>
  </si>
  <si>
    <t>淡い黄</t>
    <rPh sb="0" eb="1">
      <t>アワ</t>
    </rPh>
    <rPh sb="2" eb="3">
      <t>キ</t>
    </rPh>
    <phoneticPr fontId="18"/>
  </si>
  <si>
    <t>非常に淡い青</t>
    <phoneticPr fontId="18"/>
  </si>
  <si>
    <t>#eaf4fc</t>
    <phoneticPr fontId="18"/>
  </si>
  <si>
    <t>Elasticity</t>
    <phoneticPr fontId="18"/>
  </si>
  <si>
    <t>Damping</t>
    <phoneticPr fontId="18"/>
  </si>
  <si>
    <t>[ 26.631, 0, 0; 0, 97.364, 0; 0, 0, 122.32 ] kg·m²</t>
    <phoneticPr fontId="18"/>
  </si>
  <si>
    <t>[ 121.7, 0, 0; 0, 187.45, 0; 0, 0, 243.19 ] kg·m²</t>
    <phoneticPr fontId="18"/>
  </si>
  <si>
    <t>リンクシュー質量</t>
  </si>
  <si>
    <t>リンクシュー以外の合計質量</t>
  </si>
  <si>
    <t>AGX有効最大ボトム推力(N)</t>
    <rPh sb="3" eb="5">
      <t>ユウコウ</t>
    </rPh>
    <rPh sb="5" eb="7">
      <t>サイダイ</t>
    </rPh>
    <phoneticPr fontId="18"/>
  </si>
  <si>
    <t>AGX有効最大ヘッド推力(N)</t>
    <rPh sb="3" eb="5">
      <t>ユウコウ</t>
    </rPh>
    <rPh sb="5" eb="7">
      <t>サイダイ</t>
    </rPh>
    <rPh sb="10" eb="12">
      <t>スイリョク</t>
    </rPh>
    <phoneticPr fontId="18"/>
  </si>
  <si>
    <t>根本ピンからシリンダロッド取付ピン間距離(m)</t>
    <rPh sb="0" eb="2">
      <t>ネモト</t>
    </rPh>
    <rPh sb="17" eb="18">
      <t>アイダ</t>
    </rPh>
    <rPh sb="18" eb="20">
      <t>キョリ</t>
    </rPh>
    <phoneticPr fontId="18"/>
  </si>
  <si>
    <t>理論agx range min(m)</t>
    <rPh sb="0" eb="2">
      <t>リロン</t>
    </rPh>
    <phoneticPr fontId="18"/>
  </si>
  <si>
    <t>理論agx range max(m)</t>
    <rPh sb="0" eb="2">
      <t>リロン</t>
    </rPh>
    <phoneticPr fontId="18"/>
  </si>
  <si>
    <t>実agx range min(m)</t>
    <rPh sb="0" eb="1">
      <t>ジツ</t>
    </rPh>
    <phoneticPr fontId="18"/>
  </si>
  <si>
    <t>実agx range max(m)</t>
    <rPh sb="0" eb="1">
      <t>ジツ</t>
    </rPh>
    <phoneticPr fontId="18"/>
  </si>
  <si>
    <t>mm/m</t>
    <phoneticPr fontId="18"/>
  </si>
  <si>
    <t>rad/deg</t>
    <phoneticPr fontId="18"/>
  </si>
  <si>
    <t>Translation(N/m)</t>
    <phoneticPr fontId="18"/>
  </si>
  <si>
    <t>Rotation(Nm/rad)</t>
    <phoneticPr fontId="18"/>
  </si>
  <si>
    <t>Unit</t>
    <phoneticPr fontId="18"/>
  </si>
  <si>
    <t>Range</t>
    <phoneticPr fontId="18"/>
  </si>
  <si>
    <t>Compliance</t>
    <phoneticPr fontId="18"/>
  </si>
  <si>
    <t>Translation(m/N)</t>
    <phoneticPr fontId="18"/>
  </si>
  <si>
    <t>Rotation(rad/Nm)</t>
    <phoneticPr fontId="18"/>
  </si>
  <si>
    <t>SpookDamping(s)</t>
    <phoneticPr fontId="18"/>
  </si>
  <si>
    <t>Translation(Ns/m)</t>
    <phoneticPr fontId="18"/>
  </si>
  <si>
    <t>Rotation(Nms/rad)</t>
    <phoneticPr fontId="18"/>
  </si>
  <si>
    <t>SpaceClaim</t>
    <phoneticPr fontId="18"/>
  </si>
  <si>
    <t>Translation(N/mm)</t>
    <phoneticPr fontId="18"/>
  </si>
  <si>
    <t>Elementary/Motor/Lock</t>
    <phoneticPr fontId="18"/>
  </si>
  <si>
    <t>Translation(Ns/mm)</t>
    <phoneticPr fontId="18"/>
  </si>
  <si>
    <t>Rotation(Nm/deg)</t>
    <phoneticPr fontId="18"/>
  </si>
  <si>
    <t>with unit</t>
    <phoneticPr fontId="18"/>
  </si>
  <si>
    <t>Convert</t>
    <phoneticPr fontId="18"/>
  </si>
  <si>
    <t>Rotation(Nm s/deg)</t>
    <phoneticPr fontId="18"/>
  </si>
  <si>
    <t>Default</t>
    <phoneticPr fontId="18"/>
  </si>
  <si>
    <t>N/mm</t>
    <phoneticPr fontId="18"/>
  </si>
  <si>
    <t>Nm/°</t>
    <phoneticPr fontId="18"/>
  </si>
  <si>
    <t>Ns/mm</t>
    <phoneticPr fontId="18"/>
  </si>
  <si>
    <t>Nms/°</t>
    <phoneticPr fontId="18"/>
  </si>
  <si>
    <t>AGX最大ボトム速度(m/s)</t>
    <rPh sb="3" eb="5">
      <t>サイダイ</t>
    </rPh>
    <rPh sb="8" eb="10">
      <t>ソクド</t>
    </rPh>
    <phoneticPr fontId="18"/>
  </si>
  <si>
    <t>URDF概算関節トルク(N/m)</t>
    <rPh sb="4" eb="6">
      <t>ガイサン</t>
    </rPh>
    <rPh sb="6" eb="8">
      <t>カンセツ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</si>
</sst>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E+00"/>
    <numFmt numFmtId="177" formatCode="0.000000E+00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9" fillId="0" borderId="0" xfId="0" applyFont="1" applyAlignment="1">
      <alignment horizontal="right" vertical="center" wrapText="1" readingOrder="1"/>
    </xf>
    <xf numFmtId="0" fontId="0" fillId="0" borderId="10" xfId="0" applyBorder="1">
      <alignment vertical="center"/>
    </xf>
    <xf numFmtId="3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  <xf numFmtId="0" fontId="16" fillId="0" borderId="10" xfId="0" applyFont="1" applyBorder="1">
      <alignment vertical="center"/>
    </xf>
    <xf numFmtId="0" fontId="20" fillId="0" borderId="0" xfId="0" applyFont="1">
      <alignment vertical="center"/>
    </xf>
    <xf numFmtId="0" fontId="0" fillId="34" borderId="0" xfId="0" applyFill="1">
      <alignment vertical="center"/>
    </xf>
    <xf numFmtId="0" fontId="0" fillId="0" borderId="11" xfId="0" applyBorder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581C-E18B-48AD-B8C2-AF5E5FF79AEB}">
  <dimension ref="A1:E35"/>
  <sheetViews>
    <sheetView tabSelected="1" workbookViewId="0">
      <selection activeCell="J18" sqref="J18"/>
    </sheetView>
  </sheetViews>
  <sheetFormatPr defaultRowHeight="18.75" x14ac:dyDescent="0.4"/>
  <cols>
    <col min="1" max="1" width="36.75" customWidth="1"/>
    <col min="4" max="4" width="9.375" bestFit="1" customWidth="1"/>
  </cols>
  <sheetData>
    <row r="1" spans="1:5" x14ac:dyDescent="0.4">
      <c r="A1" s="6" t="s">
        <v>67</v>
      </c>
      <c r="D1" t="s">
        <v>57</v>
      </c>
    </row>
    <row r="2" spans="1:5" x14ac:dyDescent="0.4">
      <c r="A2" t="s">
        <v>46</v>
      </c>
      <c r="B2">
        <v>5.5</v>
      </c>
      <c r="C2" t="s">
        <v>48</v>
      </c>
      <c r="D2">
        <f>B2/3.6</f>
        <v>1.5277777777777777</v>
      </c>
      <c r="E2" t="s">
        <v>58</v>
      </c>
    </row>
    <row r="3" spans="1:5" x14ac:dyDescent="0.4">
      <c r="A3" t="s">
        <v>73</v>
      </c>
      <c r="D3">
        <f>D2/B29</f>
        <v>4.0741044940542963</v>
      </c>
      <c r="E3" t="s">
        <v>59</v>
      </c>
    </row>
    <row r="4" spans="1:5" x14ac:dyDescent="0.4">
      <c r="A4" t="s">
        <v>43</v>
      </c>
      <c r="B4">
        <v>205</v>
      </c>
      <c r="C4" t="s">
        <v>49</v>
      </c>
    </row>
    <row r="5" spans="1:5" x14ac:dyDescent="0.4">
      <c r="A5" t="s">
        <v>75</v>
      </c>
      <c r="D5">
        <f>B4*1000*B29*0.5</f>
        <v>38437.212999999996</v>
      </c>
      <c r="E5" t="s">
        <v>76</v>
      </c>
    </row>
    <row r="6" spans="1:5" x14ac:dyDescent="0.4">
      <c r="A6" t="s">
        <v>44</v>
      </c>
      <c r="B6">
        <v>12</v>
      </c>
      <c r="C6" t="s">
        <v>50</v>
      </c>
      <c r="D6">
        <f>B6/60*2*PI()</f>
        <v>1.2566370614359172</v>
      </c>
      <c r="E6" t="s">
        <v>59</v>
      </c>
    </row>
    <row r="7" spans="1:5" x14ac:dyDescent="0.4">
      <c r="A7" t="s">
        <v>45</v>
      </c>
      <c r="B7">
        <v>70</v>
      </c>
      <c r="C7" t="s">
        <v>51</v>
      </c>
    </row>
    <row r="8" spans="1:5" x14ac:dyDescent="0.4">
      <c r="A8" t="s">
        <v>47</v>
      </c>
      <c r="B8">
        <v>35</v>
      </c>
      <c r="C8" t="s">
        <v>52</v>
      </c>
    </row>
    <row r="9" spans="1:5" x14ac:dyDescent="0.4">
      <c r="A9" t="s">
        <v>78</v>
      </c>
      <c r="B9">
        <v>1</v>
      </c>
      <c r="C9" t="s">
        <v>52</v>
      </c>
    </row>
    <row r="12" spans="1:5" x14ac:dyDescent="0.4">
      <c r="A12" s="6" t="s">
        <v>66</v>
      </c>
    </row>
    <row r="13" spans="1:5" x14ac:dyDescent="0.4">
      <c r="A13" t="s">
        <v>53</v>
      </c>
      <c r="B13">
        <v>0.8</v>
      </c>
    </row>
    <row r="14" spans="1:5" x14ac:dyDescent="0.4">
      <c r="A14" t="s">
        <v>54</v>
      </c>
      <c r="B14">
        <f>B15*B16</f>
        <v>0.6050194499249999</v>
      </c>
    </row>
    <row r="15" spans="1:5" x14ac:dyDescent="0.4">
      <c r="A15" t="s">
        <v>55</v>
      </c>
      <c r="B15">
        <v>0.6111307574999999</v>
      </c>
    </row>
    <row r="16" spans="1:5" x14ac:dyDescent="0.4">
      <c r="A16" t="s">
        <v>56</v>
      </c>
      <c r="B16">
        <v>0.99</v>
      </c>
    </row>
    <row r="17" spans="1:5" x14ac:dyDescent="0.4">
      <c r="A17" t="s">
        <v>61</v>
      </c>
      <c r="B17">
        <v>1.1299999999999999</v>
      </c>
    </row>
    <row r="18" spans="1:5" x14ac:dyDescent="0.4">
      <c r="A18" t="s">
        <v>62</v>
      </c>
      <c r="B18">
        <v>1.07</v>
      </c>
    </row>
    <row r="19" spans="1:5" x14ac:dyDescent="0.4">
      <c r="A19" t="s">
        <v>60</v>
      </c>
      <c r="B19">
        <v>0.21157000000000001</v>
      </c>
    </row>
    <row r="20" spans="1:5" x14ac:dyDescent="0.4">
      <c r="A20" t="s">
        <v>63</v>
      </c>
      <c r="B20">
        <v>0.1</v>
      </c>
    </row>
    <row r="21" spans="1:5" x14ac:dyDescent="0.4">
      <c r="A21" t="s">
        <v>64</v>
      </c>
      <c r="B21">
        <v>7.4075299999999997E-2</v>
      </c>
    </row>
    <row r="22" spans="1:5" x14ac:dyDescent="0.4">
      <c r="A22" t="s">
        <v>65</v>
      </c>
      <c r="B22">
        <v>0.01</v>
      </c>
    </row>
    <row r="25" spans="1:5" x14ac:dyDescent="0.4">
      <c r="A25" s="6" t="s">
        <v>72</v>
      </c>
    </row>
    <row r="26" spans="1:5" x14ac:dyDescent="0.4">
      <c r="A26" t="s">
        <v>69</v>
      </c>
      <c r="B26">
        <v>2</v>
      </c>
    </row>
    <row r="27" spans="1:5" x14ac:dyDescent="0.4">
      <c r="A27" t="s">
        <v>70</v>
      </c>
      <c r="B27">
        <v>7</v>
      </c>
    </row>
    <row r="28" spans="1:5" x14ac:dyDescent="0.4">
      <c r="A28" t="s">
        <v>71</v>
      </c>
      <c r="B28">
        <v>46</v>
      </c>
    </row>
    <row r="29" spans="1:5" x14ac:dyDescent="0.4">
      <c r="A29" t="s">
        <v>74</v>
      </c>
      <c r="B29">
        <v>0.37499719999999997</v>
      </c>
    </row>
    <row r="31" spans="1:5" x14ac:dyDescent="0.4">
      <c r="A31" t="s">
        <v>129</v>
      </c>
      <c r="B31" t="s">
        <v>133</v>
      </c>
      <c r="C31" t="s">
        <v>130</v>
      </c>
      <c r="D31" t="s">
        <v>131</v>
      </c>
      <c r="E31" t="s">
        <v>132</v>
      </c>
    </row>
    <row r="32" spans="1:5" x14ac:dyDescent="0.4">
      <c r="A32" t="s">
        <v>135</v>
      </c>
      <c r="B32" t="s">
        <v>134</v>
      </c>
      <c r="C32">
        <v>168</v>
      </c>
      <c r="D32">
        <v>255</v>
      </c>
      <c r="E32">
        <v>168</v>
      </c>
    </row>
    <row r="33" spans="1:5" x14ac:dyDescent="0.4">
      <c r="A33" t="s">
        <v>137</v>
      </c>
      <c r="B33" t="s">
        <v>136</v>
      </c>
      <c r="C33">
        <v>255</v>
      </c>
      <c r="D33">
        <v>168</v>
      </c>
      <c r="E33">
        <v>168</v>
      </c>
    </row>
    <row r="34" spans="1:5" x14ac:dyDescent="0.4">
      <c r="A34" t="s">
        <v>139</v>
      </c>
      <c r="B34" t="s">
        <v>138</v>
      </c>
      <c r="C34">
        <v>255</v>
      </c>
      <c r="D34">
        <v>255</v>
      </c>
      <c r="E34">
        <v>168</v>
      </c>
    </row>
    <row r="35" spans="1:5" x14ac:dyDescent="0.4">
      <c r="A35" t="s">
        <v>140</v>
      </c>
      <c r="B35" t="s">
        <v>141</v>
      </c>
      <c r="C35">
        <v>234</v>
      </c>
      <c r="D35">
        <v>244</v>
      </c>
      <c r="E35">
        <v>252</v>
      </c>
    </row>
  </sheetData>
  <phoneticPr fontId="18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B7D2-AA6F-42B4-9400-D5B966AA08E0}">
  <dimension ref="A1:H31"/>
  <sheetViews>
    <sheetView workbookViewId="0">
      <selection activeCell="E32" sqref="E32"/>
    </sheetView>
  </sheetViews>
  <sheetFormatPr defaultRowHeight="18.75" x14ac:dyDescent="0.4"/>
  <cols>
    <col min="1" max="1" width="20.75" customWidth="1"/>
    <col min="2" max="2" width="22.125" style="10" customWidth="1"/>
    <col min="3" max="3" width="24.375" style="10" customWidth="1"/>
    <col min="4" max="4" width="6.5" style="10" customWidth="1"/>
    <col min="5" max="5" width="24.375" style="10" customWidth="1"/>
    <col min="6" max="6" width="23.875" style="9" customWidth="1"/>
    <col min="7" max="7" width="12.875" customWidth="1"/>
    <col min="8" max="8" width="34" customWidth="1"/>
  </cols>
  <sheetData>
    <row r="1" spans="1:8" x14ac:dyDescent="0.4">
      <c r="B1" s="10" t="s">
        <v>175</v>
      </c>
      <c r="C1" s="10" t="s">
        <v>172</v>
      </c>
      <c r="E1" s="10" t="s">
        <v>169</v>
      </c>
      <c r="G1" s="10" t="s">
        <v>160</v>
      </c>
    </row>
    <row r="2" spans="1:8" x14ac:dyDescent="0.4">
      <c r="A2" s="6" t="s">
        <v>161</v>
      </c>
    </row>
    <row r="3" spans="1:8" x14ac:dyDescent="0.4">
      <c r="A3" t="s">
        <v>162</v>
      </c>
      <c r="B3" s="10">
        <v>1E-8</v>
      </c>
      <c r="E3" s="10">
        <v>1E-10</v>
      </c>
      <c r="G3" s="10">
        <v>9.9999999999999994E-12</v>
      </c>
      <c r="H3" s="10"/>
    </row>
    <row r="4" spans="1:8" x14ac:dyDescent="0.4">
      <c r="A4" t="s">
        <v>163</v>
      </c>
      <c r="B4" s="10">
        <v>1E-8</v>
      </c>
      <c r="E4" s="10">
        <v>1E-10</v>
      </c>
      <c r="G4" s="10">
        <v>9.9999999999999994E-12</v>
      </c>
      <c r="H4" s="10"/>
    </row>
    <row r="5" spans="1:8" x14ac:dyDescent="0.4">
      <c r="A5" t="s">
        <v>164</v>
      </c>
      <c r="B5" s="10">
        <f>2/60</f>
        <v>3.3333333333333333E-2</v>
      </c>
      <c r="E5" s="10">
        <f>2/60</f>
        <v>3.3333333333333333E-2</v>
      </c>
      <c r="G5" s="10">
        <f>2/60</f>
        <v>3.3333333333333333E-2</v>
      </c>
      <c r="H5" s="10"/>
    </row>
    <row r="6" spans="1:8" x14ac:dyDescent="0.4">
      <c r="G6" s="10"/>
      <c r="H6" s="10"/>
    </row>
    <row r="7" spans="1:8" x14ac:dyDescent="0.4">
      <c r="A7" s="6" t="s">
        <v>142</v>
      </c>
      <c r="G7" s="10"/>
      <c r="H7" s="10"/>
    </row>
    <row r="8" spans="1:8" x14ac:dyDescent="0.4">
      <c r="A8" t="s">
        <v>157</v>
      </c>
      <c r="B8" s="10">
        <f>1/B3</f>
        <v>100000000</v>
      </c>
      <c r="E8" s="10">
        <f>1/E3</f>
        <v>10000000000</v>
      </c>
      <c r="G8" s="10">
        <f>1/G3</f>
        <v>100000000000</v>
      </c>
      <c r="H8" s="10"/>
    </row>
    <row r="9" spans="1:8" x14ac:dyDescent="0.4">
      <c r="A9" t="s">
        <v>158</v>
      </c>
      <c r="B9" s="10">
        <f>1/B4</f>
        <v>100000000</v>
      </c>
      <c r="E9" s="10">
        <f>1/E4</f>
        <v>10000000000</v>
      </c>
      <c r="G9" s="10">
        <f>1/G4</f>
        <v>100000000000</v>
      </c>
      <c r="H9" s="10"/>
    </row>
    <row r="10" spans="1:8" x14ac:dyDescent="0.4">
      <c r="A10" s="6" t="s">
        <v>143</v>
      </c>
      <c r="G10" s="10"/>
      <c r="H10" s="10"/>
    </row>
    <row r="11" spans="1:8" x14ac:dyDescent="0.4">
      <c r="A11" t="s">
        <v>165</v>
      </c>
      <c r="B11" s="10">
        <f>B8*B5</f>
        <v>3333333.3333333335</v>
      </c>
      <c r="E11" s="10">
        <f>E8*E5</f>
        <v>333333333.33333331</v>
      </c>
      <c r="G11" s="10">
        <f>G8*G5</f>
        <v>3333333333.3333335</v>
      </c>
      <c r="H11" s="10"/>
    </row>
    <row r="12" spans="1:8" x14ac:dyDescent="0.4">
      <c r="A12" t="s">
        <v>166</v>
      </c>
      <c r="B12" s="10">
        <f>B9*B5</f>
        <v>3333333.3333333335</v>
      </c>
      <c r="E12" s="10">
        <f>E9*E5</f>
        <v>333333333.33333331</v>
      </c>
      <c r="G12" s="10">
        <f>G9*G5</f>
        <v>3333333333.3333335</v>
      </c>
      <c r="H12" s="10"/>
    </row>
    <row r="13" spans="1:8" x14ac:dyDescent="0.4">
      <c r="G13" s="10"/>
      <c r="H13" s="10"/>
    </row>
    <row r="14" spans="1:8" x14ac:dyDescent="0.4">
      <c r="A14" s="6" t="s">
        <v>167</v>
      </c>
      <c r="G14" s="10"/>
      <c r="H14" s="10"/>
    </row>
    <row r="15" spans="1:8" x14ac:dyDescent="0.4">
      <c r="A15" s="6" t="s">
        <v>142</v>
      </c>
      <c r="G15" s="10"/>
      <c r="H15" s="10"/>
    </row>
    <row r="16" spans="1:8" x14ac:dyDescent="0.4">
      <c r="A16" t="s">
        <v>168</v>
      </c>
      <c r="B16" s="10">
        <f>B8/$B$24</f>
        <v>100000</v>
      </c>
      <c r="C16" t="str">
        <f>TEXT(B16,"0.000000E+00")&amp;" "&amp;$A$28</f>
        <v>1.000000E+05 N/mm</v>
      </c>
      <c r="E16" s="10">
        <f>E8/$B$24</f>
        <v>10000000</v>
      </c>
      <c r="F16" t="str">
        <f>TEXT(E16,"0.000000E+00")&amp;" "&amp;$A$28</f>
        <v>1.000000E+07 N/mm</v>
      </c>
      <c r="G16" s="10">
        <f>G8/$B$24</f>
        <v>100000000</v>
      </c>
      <c r="H16" t="str">
        <f>TEXT(G16,"0.000000E+00")&amp;" "&amp;$A$28</f>
        <v>1.000000E+08 N/mm</v>
      </c>
    </row>
    <row r="17" spans="1:8" x14ac:dyDescent="0.4">
      <c r="A17" t="s">
        <v>171</v>
      </c>
      <c r="B17" s="10">
        <f>B9*$B$25</f>
        <v>1745329.2519943295</v>
      </c>
      <c r="C17" s="10" t="str">
        <f>TEXT(B17,"0.000000E+00")&amp;" "&amp;$A$29</f>
        <v>1.745329E+06 Nm/°</v>
      </c>
      <c r="E17" s="10">
        <f>E9*$B$25</f>
        <v>174532925.19943297</v>
      </c>
      <c r="F17" s="10" t="str">
        <f>TEXT(E17,"0.000000E+00")&amp;" "&amp;$A$29</f>
        <v>1.745329E+08 Nm/°</v>
      </c>
      <c r="G17" s="10">
        <f>G9*$B$25</f>
        <v>1745329251.9943295</v>
      </c>
      <c r="H17" s="10" t="str">
        <f>TEXT(G17,"0.000000E+00")&amp;" "&amp;$A$29</f>
        <v>1.745329E+09 Nm/°</v>
      </c>
    </row>
    <row r="18" spans="1:8" x14ac:dyDescent="0.4">
      <c r="A18" s="6" t="s">
        <v>143</v>
      </c>
      <c r="F18" s="10"/>
      <c r="G18" s="10"/>
      <c r="H18" s="10"/>
    </row>
    <row r="19" spans="1:8" x14ac:dyDescent="0.4">
      <c r="A19" t="s">
        <v>170</v>
      </c>
      <c r="B19" s="10">
        <f>B11/$B$24</f>
        <v>3333.3333333333335</v>
      </c>
      <c r="C19" s="10" t="str">
        <f>TEXT(B19,"0.000000E+00")&amp;" "&amp;$A$30</f>
        <v>3.333333E+03 Ns/mm</v>
      </c>
      <c r="E19" s="10">
        <f>E11/$B$24</f>
        <v>333333.33333333331</v>
      </c>
      <c r="F19" s="10" t="str">
        <f>TEXT(E19,"0.000000E+00")&amp;" "&amp;$A$30</f>
        <v>3.333333E+05 Ns/mm</v>
      </c>
      <c r="G19" s="10">
        <f>G11/$B$24</f>
        <v>3333333.3333333335</v>
      </c>
      <c r="H19" s="10" t="str">
        <f>TEXT(G19,"0.000000E+00")&amp;" "&amp;$A$30</f>
        <v>3.333333E+06 Ns/mm</v>
      </c>
    </row>
    <row r="20" spans="1:8" x14ac:dyDescent="0.4">
      <c r="A20" t="s">
        <v>174</v>
      </c>
      <c r="B20" s="10">
        <f>B12*$B$25</f>
        <v>58177.641733144323</v>
      </c>
      <c r="C20" s="10" t="str">
        <f>TEXT(B20,"0.000000E+00")&amp;" "&amp;$A$31</f>
        <v>5.817764E+04 Nms/°</v>
      </c>
      <c r="E20" s="10">
        <f>E12*$B$25</f>
        <v>5817764.1733144317</v>
      </c>
      <c r="F20" s="10" t="str">
        <f>TEXT(E20,"0.000000E+00")&amp;" "&amp;$A$31</f>
        <v>5.817764E+06 Nms/°</v>
      </c>
      <c r="G20" s="10">
        <f>G12*$B$25</f>
        <v>58177641.733144321</v>
      </c>
      <c r="H20" s="10" t="str">
        <f>TEXT(G20,"0.000000E+00")&amp;" "&amp;$A$31</f>
        <v>5.817764E+07 Nms/°</v>
      </c>
    </row>
    <row r="21" spans="1:8" x14ac:dyDescent="0.4">
      <c r="G21" s="10"/>
      <c r="H21" s="10"/>
    </row>
    <row r="22" spans="1:8" x14ac:dyDescent="0.4">
      <c r="G22" s="10"/>
      <c r="H22" s="10"/>
    </row>
    <row r="23" spans="1:8" x14ac:dyDescent="0.4">
      <c r="A23" s="6" t="s">
        <v>173</v>
      </c>
      <c r="G23" s="10"/>
      <c r="H23" s="10"/>
    </row>
    <row r="24" spans="1:8" x14ac:dyDescent="0.4">
      <c r="A24" t="s">
        <v>155</v>
      </c>
      <c r="B24" s="10">
        <v>1000</v>
      </c>
      <c r="G24" s="10"/>
      <c r="H24" s="10"/>
    </row>
    <row r="25" spans="1:8" x14ac:dyDescent="0.4">
      <c r="A25" t="s">
        <v>156</v>
      </c>
      <c r="B25" s="10">
        <f>PI()/180</f>
        <v>1.7453292519943295E-2</v>
      </c>
      <c r="G25" s="10"/>
      <c r="H25" s="10"/>
    </row>
    <row r="27" spans="1:8" x14ac:dyDescent="0.4">
      <c r="A27" s="6" t="s">
        <v>159</v>
      </c>
    </row>
    <row r="28" spans="1:8" x14ac:dyDescent="0.4">
      <c r="A28" t="s">
        <v>176</v>
      </c>
    </row>
    <row r="29" spans="1:8" x14ac:dyDescent="0.4">
      <c r="A29" t="s">
        <v>177</v>
      </c>
    </row>
    <row r="30" spans="1:8" x14ac:dyDescent="0.4">
      <c r="A30" t="s">
        <v>178</v>
      </c>
    </row>
    <row r="31" spans="1:8" x14ac:dyDescent="0.4">
      <c r="A31" t="s">
        <v>179</v>
      </c>
    </row>
  </sheetData>
  <phoneticPr fontId="18"/>
  <pageMargins left="0.7" right="0.7" top="0.75" bottom="0.75" header="0.3" footer="0.3"/>
  <pageSetup paperSize="9" orientation="portrait" horizontalDpi="0" verticalDpi="0" r:id="rId1"/>
  <ignoredErrors>
    <ignoredError sqref="G19:G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D174-4755-4D04-8086-39C09249D751}">
  <dimension ref="A1:S27"/>
  <sheetViews>
    <sheetView zoomScale="85" zoomScaleNormal="85" workbookViewId="0">
      <selection activeCell="F26" sqref="F26"/>
    </sheetView>
  </sheetViews>
  <sheetFormatPr defaultRowHeight="18.75" x14ac:dyDescent="0.4"/>
  <cols>
    <col min="1" max="1" width="2.75" customWidth="1"/>
    <col min="2" max="2" width="22.375" customWidth="1"/>
    <col min="3" max="3" width="13" customWidth="1"/>
    <col min="5" max="5" width="8.25" customWidth="1"/>
    <col min="6" max="6" width="32.375" customWidth="1"/>
    <col min="7" max="7" width="13.5" customWidth="1"/>
    <col min="8" max="8" width="45.375" customWidth="1"/>
    <col min="9" max="9" width="62.375" customWidth="1"/>
    <col min="10" max="10" width="9.75" customWidth="1"/>
    <col min="17" max="17" width="9.375" bestFit="1" customWidth="1"/>
  </cols>
  <sheetData>
    <row r="1" spans="1:19" x14ac:dyDescent="0.4">
      <c r="A1" s="4"/>
      <c r="B1" s="4"/>
      <c r="C1" s="4" t="s">
        <v>29</v>
      </c>
      <c r="D1" s="4" t="s">
        <v>26</v>
      </c>
      <c r="E1" s="4" t="s">
        <v>36</v>
      </c>
      <c r="F1" s="4" t="s">
        <v>37</v>
      </c>
      <c r="G1" s="4" t="s">
        <v>38</v>
      </c>
      <c r="H1" s="4" t="s">
        <v>128</v>
      </c>
      <c r="I1" s="4" t="s">
        <v>31</v>
      </c>
      <c r="K1" s="8" t="s">
        <v>110</v>
      </c>
      <c r="N1" t="s">
        <v>37</v>
      </c>
      <c r="Q1" t="s">
        <v>111</v>
      </c>
    </row>
    <row r="2" spans="1:19" x14ac:dyDescent="0.4">
      <c r="A2" s="4" t="s">
        <v>98</v>
      </c>
      <c r="B2" s="4"/>
      <c r="C2" s="2">
        <v>3800</v>
      </c>
      <c r="D2" s="2">
        <v>1</v>
      </c>
      <c r="E2" s="2">
        <f t="shared" ref="E2:E7" si="0">C2*D2</f>
        <v>3800</v>
      </c>
      <c r="F2" s="2" t="s">
        <v>39</v>
      </c>
      <c r="G2" s="2" t="s">
        <v>39</v>
      </c>
      <c r="H2" s="2" t="s">
        <v>127</v>
      </c>
      <c r="I2" s="2"/>
      <c r="K2" t="s">
        <v>107</v>
      </c>
      <c r="L2" t="s">
        <v>108</v>
      </c>
      <c r="M2" t="s">
        <v>109</v>
      </c>
      <c r="N2" t="s">
        <v>107</v>
      </c>
      <c r="O2" t="s">
        <v>108</v>
      </c>
      <c r="P2" t="s">
        <v>109</v>
      </c>
      <c r="Q2" t="s">
        <v>107</v>
      </c>
      <c r="R2" t="s">
        <v>108</v>
      </c>
      <c r="S2" t="s">
        <v>109</v>
      </c>
    </row>
    <row r="3" spans="1:19" x14ac:dyDescent="0.4">
      <c r="A3" s="4" t="s">
        <v>97</v>
      </c>
      <c r="B3" s="4"/>
      <c r="C3">
        <v>7600</v>
      </c>
      <c r="D3" s="2">
        <v>1</v>
      </c>
      <c r="E3" s="2">
        <f t="shared" si="0"/>
        <v>7600</v>
      </c>
      <c r="F3" s="2" t="s">
        <v>40</v>
      </c>
      <c r="G3" s="2" t="s">
        <v>39</v>
      </c>
      <c r="H3" s="2" t="s">
        <v>126</v>
      </c>
      <c r="I3" s="2" t="s">
        <v>35</v>
      </c>
      <c r="K3">
        <v>-1377.48</v>
      </c>
      <c r="L3">
        <v>1.25</v>
      </c>
      <c r="M3">
        <v>1598.04</v>
      </c>
      <c r="N3">
        <v>-1906.75</v>
      </c>
      <c r="O3">
        <v>0</v>
      </c>
      <c r="P3">
        <v>1560</v>
      </c>
      <c r="Q3">
        <f>N3-K3</f>
        <v>-529.27</v>
      </c>
      <c r="R3">
        <f>O3-L3</f>
        <v>-1.25</v>
      </c>
      <c r="S3">
        <f>P3-M3</f>
        <v>-38.039999999999964</v>
      </c>
    </row>
    <row r="4" spans="1:19" x14ac:dyDescent="0.4">
      <c r="A4" s="4" t="s">
        <v>100</v>
      </c>
      <c r="B4" s="4"/>
      <c r="C4" s="2">
        <v>340</v>
      </c>
      <c r="D4" s="2">
        <v>2</v>
      </c>
      <c r="E4" s="2">
        <f t="shared" si="0"/>
        <v>680</v>
      </c>
      <c r="F4" s="2" t="s">
        <v>39</v>
      </c>
      <c r="G4" s="2" t="s">
        <v>39</v>
      </c>
      <c r="H4" s="2" t="s">
        <v>115</v>
      </c>
      <c r="I4" s="2"/>
    </row>
    <row r="5" spans="1:19" x14ac:dyDescent="0.4">
      <c r="A5" s="4" t="s">
        <v>99</v>
      </c>
      <c r="B5" s="4"/>
      <c r="C5" s="2">
        <v>108</v>
      </c>
      <c r="D5" s="2">
        <v>2</v>
      </c>
      <c r="E5" s="2">
        <f t="shared" si="0"/>
        <v>216</v>
      </c>
      <c r="F5" s="2" t="s">
        <v>39</v>
      </c>
      <c r="G5" s="2" t="s">
        <v>39</v>
      </c>
      <c r="H5" s="2" t="s">
        <v>116</v>
      </c>
      <c r="I5" s="2"/>
    </row>
    <row r="6" spans="1:19" x14ac:dyDescent="0.4">
      <c r="A6" s="4" t="s">
        <v>101</v>
      </c>
      <c r="B6" s="4"/>
      <c r="C6" s="2">
        <v>35</v>
      </c>
      <c r="D6" s="3">
        <v>4</v>
      </c>
      <c r="E6" s="2">
        <f t="shared" si="0"/>
        <v>140</v>
      </c>
      <c r="F6" s="2" t="s">
        <v>39</v>
      </c>
      <c r="G6" s="2" t="s">
        <v>39</v>
      </c>
      <c r="H6" s="2" t="s">
        <v>113</v>
      </c>
      <c r="I6" s="2"/>
    </row>
    <row r="7" spans="1:19" x14ac:dyDescent="0.4">
      <c r="A7" s="4" t="s">
        <v>102</v>
      </c>
      <c r="B7" s="4"/>
      <c r="C7" s="2">
        <v>35</v>
      </c>
      <c r="D7" s="2">
        <v>14</v>
      </c>
      <c r="E7" s="2">
        <f t="shared" si="0"/>
        <v>490</v>
      </c>
      <c r="F7" s="2" t="s">
        <v>39</v>
      </c>
      <c r="G7" s="2" t="s">
        <v>39</v>
      </c>
      <c r="H7" s="2" t="s">
        <v>114</v>
      </c>
      <c r="I7" s="2"/>
    </row>
    <row r="8" spans="1:19" x14ac:dyDescent="0.4">
      <c r="A8" s="4" t="s">
        <v>89</v>
      </c>
      <c r="B8" s="4"/>
      <c r="C8" s="2">
        <v>1440</v>
      </c>
      <c r="D8" s="2">
        <v>1</v>
      </c>
      <c r="E8" s="2">
        <f t="shared" ref="E8:E18" si="1">C8*D8</f>
        <v>1440</v>
      </c>
      <c r="F8" s="2" t="s">
        <v>39</v>
      </c>
      <c r="G8" s="2" t="s">
        <v>39</v>
      </c>
      <c r="H8" s="2" t="s">
        <v>117</v>
      </c>
      <c r="I8" s="2" t="s">
        <v>32</v>
      </c>
    </row>
    <row r="9" spans="1:19" x14ac:dyDescent="0.4">
      <c r="A9" s="4" t="s">
        <v>90</v>
      </c>
      <c r="B9" s="4"/>
      <c r="C9" s="2">
        <v>950</v>
      </c>
      <c r="D9" s="2">
        <v>1</v>
      </c>
      <c r="E9" s="2">
        <f t="shared" si="1"/>
        <v>950</v>
      </c>
      <c r="F9" s="2" t="s">
        <v>39</v>
      </c>
      <c r="G9" s="2" t="s">
        <v>39</v>
      </c>
      <c r="H9" s="2" t="s">
        <v>118</v>
      </c>
      <c r="I9" s="2" t="s">
        <v>33</v>
      </c>
    </row>
    <row r="10" spans="1:19" x14ac:dyDescent="0.4">
      <c r="A10" s="4" t="s">
        <v>91</v>
      </c>
      <c r="B10" s="4"/>
      <c r="C10" s="2">
        <v>700</v>
      </c>
      <c r="D10" s="2">
        <v>1</v>
      </c>
      <c r="E10" s="2">
        <f t="shared" si="1"/>
        <v>700</v>
      </c>
      <c r="F10" s="2" t="s">
        <v>39</v>
      </c>
      <c r="G10" s="2" t="s">
        <v>39</v>
      </c>
      <c r="H10" s="2" t="s">
        <v>145</v>
      </c>
      <c r="I10" s="2" t="s">
        <v>34</v>
      </c>
    </row>
    <row r="11" spans="1:19" x14ac:dyDescent="0.4">
      <c r="A11" s="4" t="s">
        <v>92</v>
      </c>
      <c r="B11" s="4"/>
      <c r="C11" s="2">
        <v>140</v>
      </c>
      <c r="D11" s="2">
        <v>2</v>
      </c>
      <c r="E11" s="2">
        <f t="shared" si="1"/>
        <v>280</v>
      </c>
      <c r="F11" s="2" t="s">
        <v>39</v>
      </c>
      <c r="G11" s="2" t="s">
        <v>39</v>
      </c>
      <c r="H11" s="2" t="s">
        <v>144</v>
      </c>
      <c r="I11" s="2"/>
    </row>
    <row r="12" spans="1:19" x14ac:dyDescent="0.4">
      <c r="A12" s="4" t="s">
        <v>104</v>
      </c>
      <c r="B12" s="4"/>
      <c r="C12" s="2">
        <v>56</v>
      </c>
      <c r="D12" s="2">
        <v>2</v>
      </c>
      <c r="E12" s="2">
        <f t="shared" si="1"/>
        <v>112</v>
      </c>
      <c r="F12" s="2" t="s">
        <v>39</v>
      </c>
      <c r="G12" s="2" t="s">
        <v>39</v>
      </c>
      <c r="H12" s="2" t="s">
        <v>119</v>
      </c>
      <c r="I12" s="2" t="s">
        <v>68</v>
      </c>
    </row>
    <row r="13" spans="1:19" x14ac:dyDescent="0.4">
      <c r="A13" s="4" t="s">
        <v>93</v>
      </c>
      <c r="B13" s="4"/>
      <c r="C13" s="2">
        <v>145</v>
      </c>
      <c r="D13" s="2">
        <v>1</v>
      </c>
      <c r="E13" s="2">
        <f t="shared" si="1"/>
        <v>145</v>
      </c>
      <c r="F13" s="2" t="s">
        <v>39</v>
      </c>
      <c r="G13" s="2" t="s">
        <v>39</v>
      </c>
      <c r="H13" s="2" t="s">
        <v>120</v>
      </c>
      <c r="I13" s="2"/>
    </row>
    <row r="14" spans="1:19" x14ac:dyDescent="0.4">
      <c r="A14" s="4" t="s">
        <v>105</v>
      </c>
      <c r="B14" s="4"/>
      <c r="C14" s="2">
        <v>115</v>
      </c>
      <c r="D14" s="2">
        <v>1</v>
      </c>
      <c r="E14" s="2">
        <f t="shared" si="1"/>
        <v>115</v>
      </c>
      <c r="F14" s="2" t="s">
        <v>39</v>
      </c>
      <c r="G14" s="2" t="s">
        <v>39</v>
      </c>
      <c r="H14" s="2" t="s">
        <v>121</v>
      </c>
      <c r="I14" s="2"/>
    </row>
    <row r="15" spans="1:19" x14ac:dyDescent="0.4">
      <c r="A15" s="4" t="s">
        <v>94</v>
      </c>
      <c r="B15" s="4"/>
      <c r="C15" s="2">
        <v>105</v>
      </c>
      <c r="D15" s="2">
        <v>1</v>
      </c>
      <c r="E15" s="2">
        <f t="shared" si="1"/>
        <v>105</v>
      </c>
      <c r="F15" s="2" t="s">
        <v>39</v>
      </c>
      <c r="G15" s="2" t="s">
        <v>39</v>
      </c>
      <c r="H15" s="2" t="s">
        <v>122</v>
      </c>
      <c r="I15" s="2"/>
    </row>
    <row r="16" spans="1:19" x14ac:dyDescent="0.4">
      <c r="A16" s="4" t="s">
        <v>106</v>
      </c>
      <c r="B16" s="4"/>
      <c r="C16" s="2">
        <v>85</v>
      </c>
      <c r="D16" s="2">
        <v>1</v>
      </c>
      <c r="E16" s="2">
        <f t="shared" si="1"/>
        <v>85</v>
      </c>
      <c r="F16" s="2" t="s">
        <v>39</v>
      </c>
      <c r="G16" s="2" t="s">
        <v>39</v>
      </c>
      <c r="H16" s="2" t="s">
        <v>123</v>
      </c>
      <c r="I16" s="2"/>
    </row>
    <row r="17" spans="1:9" x14ac:dyDescent="0.4">
      <c r="A17" s="4" t="s">
        <v>95</v>
      </c>
      <c r="B17" s="4"/>
      <c r="C17" s="2">
        <v>100</v>
      </c>
      <c r="D17" s="2">
        <v>1</v>
      </c>
      <c r="E17" s="2">
        <f t="shared" si="1"/>
        <v>100</v>
      </c>
      <c r="F17" s="2" t="s">
        <v>39</v>
      </c>
      <c r="G17" s="2" t="s">
        <v>39</v>
      </c>
      <c r="H17" s="2" t="s">
        <v>124</v>
      </c>
      <c r="I17" s="2" t="s">
        <v>112</v>
      </c>
    </row>
    <row r="18" spans="1:9" x14ac:dyDescent="0.4">
      <c r="A18" s="4" t="s">
        <v>96</v>
      </c>
      <c r="B18" s="4"/>
      <c r="C18" s="2">
        <v>100</v>
      </c>
      <c r="D18" s="2">
        <v>1</v>
      </c>
      <c r="E18" s="2">
        <f t="shared" si="1"/>
        <v>100</v>
      </c>
      <c r="F18" s="2" t="s">
        <v>39</v>
      </c>
      <c r="G18" s="2" t="s">
        <v>39</v>
      </c>
      <c r="H18" s="2" t="s">
        <v>125</v>
      </c>
      <c r="I18" s="2"/>
    </row>
    <row r="19" spans="1:9" x14ac:dyDescent="0.4">
      <c r="A19" s="4" t="s">
        <v>103</v>
      </c>
      <c r="B19" s="4"/>
      <c r="C19" s="2"/>
      <c r="D19" s="2"/>
      <c r="E19" s="2"/>
      <c r="F19" s="2"/>
      <c r="G19" s="2"/>
      <c r="H19" s="2"/>
      <c r="I19" s="2"/>
    </row>
    <row r="20" spans="1:9" x14ac:dyDescent="0.4">
      <c r="A20" s="4"/>
      <c r="B20" s="4" t="s">
        <v>27</v>
      </c>
      <c r="C20" s="2">
        <v>18</v>
      </c>
      <c r="D20" s="2">
        <v>92</v>
      </c>
      <c r="E20" s="2">
        <f>C20*D20</f>
        <v>1656</v>
      </c>
      <c r="F20" s="2" t="s">
        <v>39</v>
      </c>
      <c r="G20" s="2" t="s">
        <v>39</v>
      </c>
      <c r="H20" s="2"/>
      <c r="I20" s="2"/>
    </row>
    <row r="21" spans="1:9" x14ac:dyDescent="0.4">
      <c r="A21" s="4"/>
      <c r="B21" s="4" t="s">
        <v>28</v>
      </c>
      <c r="C21" s="2">
        <v>16</v>
      </c>
      <c r="D21" s="2">
        <v>92</v>
      </c>
      <c r="E21" s="2">
        <f>C21*D21</f>
        <v>1472</v>
      </c>
      <c r="F21" s="2" t="s">
        <v>39</v>
      </c>
      <c r="G21" s="2" t="s">
        <v>39</v>
      </c>
      <c r="H21" s="2"/>
      <c r="I21" s="2"/>
    </row>
    <row r="22" spans="1:9" x14ac:dyDescent="0.4">
      <c r="A22" s="4" t="s">
        <v>30</v>
      </c>
      <c r="B22" s="4"/>
      <c r="C22" s="2"/>
      <c r="D22" s="2"/>
      <c r="E22" s="5">
        <f>SUM(E2:E21)</f>
        <v>20186</v>
      </c>
      <c r="F22" s="5"/>
      <c r="G22" s="5"/>
      <c r="H22" s="5"/>
      <c r="I22" s="2"/>
    </row>
    <row r="24" spans="1:9" x14ac:dyDescent="0.4">
      <c r="A24" t="s">
        <v>41</v>
      </c>
      <c r="E24">
        <f>SUM(E8:E18)</f>
        <v>4132</v>
      </c>
    </row>
    <row r="25" spans="1:9" x14ac:dyDescent="0.4">
      <c r="A25" t="s">
        <v>42</v>
      </c>
      <c r="E25">
        <f>E20+E21</f>
        <v>3128</v>
      </c>
    </row>
    <row r="26" spans="1:9" x14ac:dyDescent="0.4">
      <c r="A26" t="s">
        <v>146</v>
      </c>
      <c r="E26">
        <f>C20+C21</f>
        <v>34</v>
      </c>
    </row>
    <row r="27" spans="1:9" x14ac:dyDescent="0.4">
      <c r="A27" t="s">
        <v>147</v>
      </c>
      <c r="E27">
        <f>SUM(E2:E18)</f>
        <v>17058</v>
      </c>
    </row>
  </sheetData>
  <phoneticPr fontId="18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317E-EE6F-42FF-99F3-C97E08F0E85E}">
  <dimension ref="A1:G48"/>
  <sheetViews>
    <sheetView topLeftCell="A7" workbookViewId="0">
      <selection activeCell="I24" sqref="I24"/>
    </sheetView>
  </sheetViews>
  <sheetFormatPr defaultRowHeight="18.75" x14ac:dyDescent="0.4"/>
  <cols>
    <col min="1" max="1" width="49" customWidth="1"/>
    <col min="2" max="2" width="12.25" customWidth="1"/>
  </cols>
  <sheetData>
    <row r="1" spans="1:7" x14ac:dyDescent="0.4">
      <c r="A1" t="s">
        <v>4</v>
      </c>
      <c r="B1" t="s">
        <v>1</v>
      </c>
      <c r="C1" t="s">
        <v>2</v>
      </c>
      <c r="D1" t="s">
        <v>3</v>
      </c>
    </row>
    <row r="2" spans="1:7" x14ac:dyDescent="0.4">
      <c r="A2" t="s">
        <v>7</v>
      </c>
      <c r="B2">
        <v>2885.6592000000001</v>
      </c>
      <c r="C2">
        <v>3338.5075999999999</v>
      </c>
      <c r="D2">
        <v>2298.4699999999998</v>
      </c>
    </row>
    <row r="3" spans="1:7" x14ac:dyDescent="0.4">
      <c r="A3" t="s">
        <v>5</v>
      </c>
      <c r="B3">
        <f>SUM(B40,B41,B46,B43,B6)</f>
        <v>1890</v>
      </c>
      <c r="C3">
        <f>SUM(C40,C41,C46,C43,C6)</f>
        <v>2130</v>
      </c>
      <c r="D3">
        <f>SUM(D40,D41,D46,D43,D6)</f>
        <v>1740</v>
      </c>
      <c r="G3" t="s">
        <v>25</v>
      </c>
    </row>
    <row r="4" spans="1:7" x14ac:dyDescent="0.4">
      <c r="A4" t="s">
        <v>6</v>
      </c>
      <c r="B4">
        <f>B5+B6</f>
        <v>3210</v>
      </c>
      <c r="C4">
        <f t="shared" ref="C4:D4" si="0">C5+C6</f>
        <v>3690</v>
      </c>
      <c r="D4">
        <f t="shared" si="0"/>
        <v>2910</v>
      </c>
      <c r="G4" t="s">
        <v>9</v>
      </c>
    </row>
    <row r="5" spans="1:7" x14ac:dyDescent="0.4">
      <c r="A5" t="s">
        <v>10</v>
      </c>
      <c r="B5">
        <f>SUM(B40,B41,B42)</f>
        <v>1600</v>
      </c>
      <c r="C5">
        <f t="shared" ref="C5:D5" si="1">SUM(C40,C41,C42)</f>
        <v>1840</v>
      </c>
      <c r="D5">
        <f t="shared" si="1"/>
        <v>1450</v>
      </c>
      <c r="G5" t="s">
        <v>24</v>
      </c>
    </row>
    <row r="6" spans="1:7" x14ac:dyDescent="0.4">
      <c r="A6" t="s">
        <v>8</v>
      </c>
      <c r="B6">
        <f>SUM(B47,B48)</f>
        <v>1610</v>
      </c>
      <c r="C6">
        <f t="shared" ref="C6:D6" si="2">SUM(C47,C48)</f>
        <v>1850</v>
      </c>
      <c r="D6">
        <f t="shared" si="2"/>
        <v>1460</v>
      </c>
      <c r="G6" t="s">
        <v>21</v>
      </c>
    </row>
    <row r="7" spans="1:7" x14ac:dyDescent="0.4">
      <c r="A7" t="s">
        <v>0</v>
      </c>
      <c r="B7">
        <f>B4-B3</f>
        <v>1320</v>
      </c>
      <c r="C7">
        <f t="shared" ref="C7:D7" si="3">C4-C3</f>
        <v>1560</v>
      </c>
      <c r="D7">
        <f t="shared" si="3"/>
        <v>1170</v>
      </c>
      <c r="G7" t="s">
        <v>23</v>
      </c>
    </row>
    <row r="8" spans="1:7" x14ac:dyDescent="0.4">
      <c r="A8" t="s">
        <v>81</v>
      </c>
      <c r="B8">
        <f>PI()*POWER(B39,2)/4</f>
        <v>11309.733552923255</v>
      </c>
      <c r="C8">
        <f>PI()*POWER(C39,2)/4</f>
        <v>12271.846303085129</v>
      </c>
      <c r="D8">
        <f>PI()*POWER(D39,2)/4</f>
        <v>10386.890710931253</v>
      </c>
    </row>
    <row r="9" spans="1:7" x14ac:dyDescent="0.4">
      <c r="A9" t="s">
        <v>82</v>
      </c>
      <c r="B9">
        <f>B8-B10</f>
        <v>5635.2318223766915</v>
      </c>
      <c r="C9">
        <f>C8-C10</f>
        <v>5183.6278784231581</v>
      </c>
      <c r="D9">
        <f>D8-D10</f>
        <v>4025.1655874119224</v>
      </c>
    </row>
    <row r="10" spans="1:7" x14ac:dyDescent="0.4">
      <c r="A10" t="s">
        <v>77</v>
      </c>
      <c r="B10">
        <f>PI()*POWER(B38,2)/4</f>
        <v>5674.5017305465635</v>
      </c>
      <c r="C10">
        <f>PI()*POWER(C38,2)/4</f>
        <v>7088.2184246619709</v>
      </c>
      <c r="D10">
        <f>PI()*POWER(D38,2)/4</f>
        <v>6361.7251235193307</v>
      </c>
    </row>
    <row r="11" spans="1:7" x14ac:dyDescent="0.4">
      <c r="A11" t="s">
        <v>79</v>
      </c>
      <c r="B11">
        <v>35</v>
      </c>
    </row>
    <row r="12" spans="1:7" x14ac:dyDescent="0.4">
      <c r="A12" t="s">
        <v>80</v>
      </c>
      <c r="B12">
        <v>1</v>
      </c>
    </row>
    <row r="13" spans="1:7" x14ac:dyDescent="0.4">
      <c r="A13" t="s">
        <v>87</v>
      </c>
      <c r="B13">
        <v>440</v>
      </c>
      <c r="C13">
        <f>B13*0.001/60</f>
        <v>7.3333333333333332E-3</v>
      </c>
      <c r="D13" t="s">
        <v>88</v>
      </c>
    </row>
    <row r="14" spans="1:7" x14ac:dyDescent="0.4">
      <c r="A14" t="s">
        <v>83</v>
      </c>
      <c r="B14">
        <f>$B$11*B8*2</f>
        <v>791681.34870462783</v>
      </c>
      <c r="C14">
        <f>$B$11*C8</f>
        <v>429514.62060797954</v>
      </c>
      <c r="D14">
        <f>$B$11*D8</f>
        <v>363541.17488259386</v>
      </c>
    </row>
    <row r="15" spans="1:7" x14ac:dyDescent="0.4">
      <c r="A15" t="s">
        <v>84</v>
      </c>
      <c r="B15">
        <f>$B$11*B9*2</f>
        <v>394466.22756636841</v>
      </c>
      <c r="C15">
        <f>$B$11*C9</f>
        <v>181426.97574481054</v>
      </c>
      <c r="D15">
        <f>$B$11*D9</f>
        <v>140880.79555941728</v>
      </c>
    </row>
    <row r="16" spans="1:7" x14ac:dyDescent="0.4">
      <c r="A16" t="s">
        <v>85</v>
      </c>
      <c r="B16">
        <f>$B$12*B8*2</f>
        <v>22619.46710584651</v>
      </c>
      <c r="C16">
        <f>$B$12*C8</f>
        <v>12271.846303085129</v>
      </c>
      <c r="D16">
        <f>$B$12*D8</f>
        <v>10386.890710931253</v>
      </c>
    </row>
    <row r="17" spans="1:4" x14ac:dyDescent="0.4">
      <c r="A17" t="s">
        <v>86</v>
      </c>
      <c r="B17">
        <f>$B$12*B9*2</f>
        <v>11270.463644753383</v>
      </c>
      <c r="C17">
        <f>$B$12*C9</f>
        <v>5183.6278784231581</v>
      </c>
      <c r="D17">
        <f>$B$12*D9</f>
        <v>4025.1655874119224</v>
      </c>
    </row>
    <row r="20" spans="1:4" x14ac:dyDescent="0.4">
      <c r="A20" s="7" t="s">
        <v>180</v>
      </c>
      <c r="B20" s="7">
        <f>$C$13/(B8*0.000001)</f>
        <v>0.64840902741142548</v>
      </c>
      <c r="C20" s="7">
        <f>$C$13/(C8*0.000001)</f>
        <v>0.59757375966236981</v>
      </c>
      <c r="D20" s="7">
        <f>$C$13/(D8*0.000001)</f>
        <v>0.70601814704911359</v>
      </c>
    </row>
    <row r="21" spans="1:4" x14ac:dyDescent="0.4">
      <c r="A21" s="7" t="s">
        <v>148</v>
      </c>
      <c r="B21" s="7">
        <f>B14-B17</f>
        <v>780410.8850598745</v>
      </c>
      <c r="C21" s="7">
        <f>C14-C17</f>
        <v>424330.9927295564</v>
      </c>
      <c r="D21" s="7">
        <f>D14-D17</f>
        <v>359516.00929518195</v>
      </c>
    </row>
    <row r="22" spans="1:4" x14ac:dyDescent="0.4">
      <c r="A22" s="7" t="s">
        <v>149</v>
      </c>
      <c r="B22" s="7">
        <f>B15-B16</f>
        <v>371846.76046052191</v>
      </c>
      <c r="C22" s="7">
        <f>C15-C16</f>
        <v>169155.12944172541</v>
      </c>
      <c r="D22" s="7">
        <f>D15-D16</f>
        <v>130493.90484848603</v>
      </c>
    </row>
    <row r="23" spans="1:4" x14ac:dyDescent="0.4">
      <c r="A23" t="s">
        <v>150</v>
      </c>
      <c r="B23">
        <v>2.5754974000000002</v>
      </c>
      <c r="C23">
        <v>0.70762720000000001</v>
      </c>
      <c r="D23">
        <v>0.70406369999999996</v>
      </c>
    </row>
    <row r="24" spans="1:4" x14ac:dyDescent="0.4">
      <c r="A24" s="7" t="s">
        <v>181</v>
      </c>
      <c r="B24" s="7">
        <f>B23*B21</f>
        <v>2009946.2054034057</v>
      </c>
      <c r="C24" s="7">
        <f>C23*C21</f>
        <v>300268.15225843637</v>
      </c>
      <c r="D24" s="7">
        <f>D23*D21</f>
        <v>253122.1717136002</v>
      </c>
    </row>
    <row r="28" spans="1:4" x14ac:dyDescent="0.4">
      <c r="A28" t="s">
        <v>151</v>
      </c>
      <c r="B28">
        <f>(B3-B2)</f>
        <v>-995.65920000000006</v>
      </c>
      <c r="C28">
        <f t="shared" ref="C28:D28" si="4">(C3-C2)</f>
        <v>-1208.5075999999999</v>
      </c>
      <c r="D28">
        <f t="shared" si="4"/>
        <v>-558.4699999999998</v>
      </c>
    </row>
    <row r="29" spans="1:4" x14ac:dyDescent="0.4">
      <c r="A29" t="s">
        <v>152</v>
      </c>
      <c r="B29">
        <f>(B4-B2)</f>
        <v>324.34079999999994</v>
      </c>
      <c r="C29">
        <f t="shared" ref="C29:D29" si="5">(C4-C2)</f>
        <v>351.49240000000009</v>
      </c>
      <c r="D29">
        <f t="shared" si="5"/>
        <v>611.5300000000002</v>
      </c>
    </row>
    <row r="30" spans="1:4" x14ac:dyDescent="0.4">
      <c r="A30" s="7" t="s">
        <v>153</v>
      </c>
      <c r="B30" s="7">
        <f>B28</f>
        <v>-995.65920000000006</v>
      </c>
      <c r="C30" s="7">
        <v>-853</v>
      </c>
      <c r="D30" s="7">
        <f>D28</f>
        <v>-558.4699999999998</v>
      </c>
    </row>
    <row r="31" spans="1:4" x14ac:dyDescent="0.4">
      <c r="A31" s="7" t="s">
        <v>154</v>
      </c>
      <c r="B31" s="7">
        <f>B29</f>
        <v>324.34079999999994</v>
      </c>
      <c r="C31" s="7">
        <f>C29</f>
        <v>351.49240000000009</v>
      </c>
      <c r="D31" s="7">
        <f>500</f>
        <v>500</v>
      </c>
    </row>
    <row r="37" spans="1:4" x14ac:dyDescent="0.4">
      <c r="A37" t="s">
        <v>4</v>
      </c>
      <c r="B37" t="s">
        <v>1</v>
      </c>
      <c r="C37" t="s">
        <v>2</v>
      </c>
      <c r="D37" t="s">
        <v>3</v>
      </c>
    </row>
    <row r="38" spans="1:4" x14ac:dyDescent="0.4">
      <c r="A38" t="s">
        <v>11</v>
      </c>
      <c r="B38">
        <v>85</v>
      </c>
      <c r="C38">
        <v>95</v>
      </c>
      <c r="D38">
        <v>90</v>
      </c>
    </row>
    <row r="39" spans="1:4" x14ac:dyDescent="0.4">
      <c r="A39" t="s">
        <v>12</v>
      </c>
      <c r="B39">
        <v>120</v>
      </c>
      <c r="C39">
        <v>125</v>
      </c>
      <c r="D39">
        <v>115</v>
      </c>
    </row>
    <row r="40" spans="1:4" x14ac:dyDescent="0.4">
      <c r="A40" t="s">
        <v>13</v>
      </c>
      <c r="B40">
        <v>100</v>
      </c>
      <c r="C40">
        <v>100</v>
      </c>
      <c r="D40">
        <v>100</v>
      </c>
    </row>
    <row r="41" spans="1:4" x14ac:dyDescent="0.4">
      <c r="A41" t="s">
        <v>14</v>
      </c>
      <c r="B41">
        <v>100</v>
      </c>
      <c r="C41">
        <v>100</v>
      </c>
      <c r="D41">
        <v>100</v>
      </c>
    </row>
    <row r="42" spans="1:4" x14ac:dyDescent="0.4">
      <c r="A42" t="s">
        <v>22</v>
      </c>
      <c r="B42" s="1">
        <v>1400</v>
      </c>
      <c r="C42" s="1">
        <v>1640</v>
      </c>
      <c r="D42" s="1">
        <v>1250</v>
      </c>
    </row>
    <row r="43" spans="1:4" x14ac:dyDescent="0.4">
      <c r="A43" t="s">
        <v>15</v>
      </c>
      <c r="B43">
        <v>50</v>
      </c>
      <c r="C43">
        <v>50</v>
      </c>
      <c r="D43">
        <v>50</v>
      </c>
    </row>
    <row r="44" spans="1:4" x14ac:dyDescent="0.4">
      <c r="A44" t="s">
        <v>16</v>
      </c>
      <c r="B44">
        <v>60</v>
      </c>
      <c r="C44">
        <v>60</v>
      </c>
      <c r="D44">
        <v>60</v>
      </c>
    </row>
    <row r="45" spans="1:4" x14ac:dyDescent="0.4">
      <c r="A45" t="s">
        <v>17</v>
      </c>
      <c r="B45">
        <v>10</v>
      </c>
      <c r="C45">
        <v>10</v>
      </c>
      <c r="D45">
        <v>10</v>
      </c>
    </row>
    <row r="46" spans="1:4" x14ac:dyDescent="0.4">
      <c r="A46" t="s">
        <v>18</v>
      </c>
      <c r="B46">
        <v>30</v>
      </c>
      <c r="C46">
        <v>30</v>
      </c>
      <c r="D46">
        <v>30</v>
      </c>
    </row>
    <row r="47" spans="1:4" x14ac:dyDescent="0.4">
      <c r="A47" t="s">
        <v>19</v>
      </c>
      <c r="B47">
        <v>1390</v>
      </c>
      <c r="C47">
        <v>1630</v>
      </c>
      <c r="D47">
        <v>1240</v>
      </c>
    </row>
    <row r="48" spans="1:4" x14ac:dyDescent="0.4">
      <c r="A48" t="s">
        <v>20</v>
      </c>
      <c r="B48">
        <v>220</v>
      </c>
      <c r="C48">
        <v>220</v>
      </c>
      <c r="D48">
        <v>220</v>
      </c>
    </row>
  </sheetData>
  <phoneticPr fontId="18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基本スペック</vt:lpstr>
      <vt:lpstr>ジョイント</vt:lpstr>
      <vt:lpstr>質量、重心、慣性テンソル</vt:lpstr>
      <vt:lpstr>シリンダスペック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2026-01-29T06:36:39Z</dcterms:created>
  <dcterms:modified xsi:type="dcterms:W3CDTF">2026-01-29T06:36:55Z</dcterms:modified>
</cp:coreProperties>
</file>